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3280" windowHeight="13200"/>
  </bookViews>
  <sheets>
    <sheet name="Лист1" sheetId="1" r:id="rId1"/>
  </sheets>
  <calcPr calcId="145621"/>
</workbook>
</file>

<file path=xl/calcChain.xml><?xml version="1.0" encoding="utf-8"?>
<calcChain xmlns="http://schemas.openxmlformats.org/spreadsheetml/2006/main">
  <c r="H10" i="1" l="1"/>
  <c r="K10" i="1" s="1"/>
  <c r="H6" i="1" l="1"/>
  <c r="K6" i="1" s="1"/>
  <c r="I6" i="1"/>
  <c r="J6" i="1" s="1"/>
  <c r="H7" i="1"/>
  <c r="K7" i="1" s="1"/>
  <c r="I7" i="1"/>
  <c r="J7" i="1" s="1"/>
  <c r="I5" i="1" l="1"/>
  <c r="H20" i="1" l="1"/>
  <c r="H23" i="1" l="1"/>
  <c r="H22" i="1"/>
  <c r="H3" i="1"/>
  <c r="H8" i="1"/>
  <c r="H11" i="1" l="1"/>
  <c r="K11" i="1" s="1"/>
  <c r="H15" i="1" l="1"/>
  <c r="H16" i="1"/>
  <c r="G24" i="1" l="1"/>
  <c r="I3" i="1" l="1"/>
  <c r="J3" i="1" s="1"/>
  <c r="I2" i="1" l="1"/>
  <c r="J2" i="1" s="1"/>
  <c r="H2" i="1"/>
  <c r="K2" i="1" s="1"/>
  <c r="J5" i="1" l="1"/>
  <c r="H5" i="1"/>
  <c r="K5" i="1" s="1"/>
  <c r="K8" i="1" l="1"/>
  <c r="I8" i="1"/>
  <c r="J8" i="1" s="1"/>
  <c r="H4" i="1" l="1"/>
  <c r="K4" i="1" s="1"/>
  <c r="I4" i="1"/>
  <c r="J4" i="1" s="1"/>
  <c r="K3" i="1" l="1"/>
  <c r="H19" i="1" l="1"/>
  <c r="K19" i="1" l="1"/>
  <c r="I13" i="1"/>
  <c r="J13" i="1" s="1"/>
  <c r="H13" i="1"/>
  <c r="I22" i="1"/>
  <c r="J22" i="1" s="1"/>
  <c r="I23" i="1"/>
  <c r="J23" i="1" s="1"/>
  <c r="I10" i="1"/>
  <c r="I11" i="1"/>
  <c r="J11" i="1" s="1"/>
  <c r="I12" i="1"/>
  <c r="J12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9" i="1"/>
  <c r="J9" i="1" s="1"/>
  <c r="H12" i="1"/>
  <c r="K12" i="1" s="1"/>
  <c r="K15" i="1"/>
  <c r="K16" i="1"/>
  <c r="H17" i="1"/>
  <c r="K17" i="1" s="1"/>
  <c r="H18" i="1"/>
  <c r="K18" i="1" s="1"/>
  <c r="K20" i="1"/>
  <c r="H21" i="1"/>
  <c r="K21" i="1" s="1"/>
  <c r="K22" i="1"/>
  <c r="K23" i="1"/>
  <c r="H9" i="1"/>
  <c r="K9" i="1" s="1"/>
  <c r="K13" i="1" l="1"/>
  <c r="K24" i="1" s="1"/>
  <c r="H24" i="1"/>
  <c r="I24" i="1"/>
  <c r="J10" i="1"/>
  <c r="J24" i="1" s="1"/>
  <c r="K14" i="1"/>
</calcChain>
</file>

<file path=xl/sharedStrings.xml><?xml version="1.0" encoding="utf-8"?>
<sst xmlns="http://schemas.openxmlformats.org/spreadsheetml/2006/main" count="57" uniqueCount="54">
  <si>
    <t>М1-35</t>
  </si>
  <si>
    <t>270 х 136 х 35</t>
  </si>
  <si>
    <t>М2-30</t>
  </si>
  <si>
    <t>210 х 155 х 30</t>
  </si>
  <si>
    <t>М3-10</t>
  </si>
  <si>
    <t>222 х 133 х 10</t>
  </si>
  <si>
    <t>М3-16</t>
  </si>
  <si>
    <t>222 х 133 х 16</t>
  </si>
  <si>
    <t>М3-20</t>
  </si>
  <si>
    <t>222 х 133 х 20</t>
  </si>
  <si>
    <t>М3-33</t>
  </si>
  <si>
    <t>222 х 133 х 33</t>
  </si>
  <si>
    <t>М3-40</t>
  </si>
  <si>
    <t>222 х 133 х 40</t>
  </si>
  <si>
    <t>М4-0</t>
  </si>
  <si>
    <t>178 х 133</t>
  </si>
  <si>
    <t>(плоская)</t>
  </si>
  <si>
    <t>М4-10</t>
  </si>
  <si>
    <t>178 х 133 х 10</t>
  </si>
  <si>
    <t>М4-20</t>
  </si>
  <si>
    <t>178 х 133 х 20</t>
  </si>
  <si>
    <t>М4-25</t>
  </si>
  <si>
    <t>178 х 133 х 25</t>
  </si>
  <si>
    <t>М5-25</t>
  </si>
  <si>
    <t>225 х 165 х 25</t>
  </si>
  <si>
    <t>М6-20</t>
  </si>
  <si>
    <t>250 х 175 х 20</t>
  </si>
  <si>
    <t>М6-35</t>
  </si>
  <si>
    <t>250 х 175 х 35</t>
  </si>
  <si>
    <t>Код</t>
  </si>
  <si>
    <t>Линейные размеры, мм</t>
  </si>
  <si>
    <t>Кол-во шт мешке</t>
  </si>
  <si>
    <t>Объем мешка, м.куб</t>
  </si>
  <si>
    <t>Кол-во, тыс шт</t>
  </si>
  <si>
    <t>Кол-во мешков, шт</t>
  </si>
  <si>
    <t>Объем чистый, м.куб</t>
  </si>
  <si>
    <t>Объем+10%</t>
  </si>
  <si>
    <t>заполняется вручную</t>
  </si>
  <si>
    <t>Вес, кг</t>
  </si>
  <si>
    <t>Вес 1 шт, кг</t>
  </si>
  <si>
    <t>№п/п</t>
  </si>
  <si>
    <t>MB-1</t>
  </si>
  <si>
    <t>MB-2</t>
  </si>
  <si>
    <t>390 x 242 x 74</t>
  </si>
  <si>
    <t>MB-10</t>
  </si>
  <si>
    <t>270 x 145 x (32+38)</t>
  </si>
  <si>
    <t xml:space="preserve"> </t>
  </si>
  <si>
    <t>MB-3</t>
  </si>
  <si>
    <t>супница</t>
  </si>
  <si>
    <t>610 мл</t>
  </si>
  <si>
    <t>MB-6</t>
  </si>
  <si>
    <t>MB-9</t>
  </si>
  <si>
    <t>149 x 152 x 78</t>
  </si>
  <si>
    <t xml:space="preserve">155 x 188 x 80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</si>
</sst>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0" xfId="0" applyFill="1"/>
    <xf numFmtId="0" fontId="2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topLeftCell="A10" zoomScale="190" zoomScaleNormal="190" workbookViewId="0">
      <selection activeCell="G9" sqref="G9"/>
    </sheetView>
  </sheetViews>
  <sheetFormatPr defaultRowHeight="15" x14ac:dyDescent="0.25"/>
  <cols>
    <col min="2" max="2" width="9.7109375" customWidth="1"/>
    <col min="4" max="4" width="17.28515625" customWidth="1"/>
    <col min="10" max="10" width="12.28515625" customWidth="1"/>
  </cols>
  <sheetData>
    <row r="1" spans="1:11" ht="45" x14ac:dyDescent="0.25">
      <c r="A1" s="2" t="s">
        <v>40</v>
      </c>
      <c r="B1" s="6" t="s">
        <v>39</v>
      </c>
      <c r="C1" s="2" t="s">
        <v>29</v>
      </c>
      <c r="D1" s="3" t="s">
        <v>30</v>
      </c>
      <c r="E1" s="3" t="s">
        <v>31</v>
      </c>
      <c r="F1" s="3" t="s">
        <v>32</v>
      </c>
      <c r="G1" s="3" t="s">
        <v>34</v>
      </c>
      <c r="H1" s="3" t="s">
        <v>33</v>
      </c>
      <c r="I1" s="3" t="s">
        <v>35</v>
      </c>
      <c r="J1" s="6" t="s">
        <v>36</v>
      </c>
      <c r="K1" s="10" t="s">
        <v>38</v>
      </c>
    </row>
    <row r="2" spans="1:11" x14ac:dyDescent="0.25">
      <c r="A2" s="17">
        <v>1</v>
      </c>
      <c r="B2" s="20">
        <v>1.4999999999999999E-2</v>
      </c>
      <c r="C2" s="21" t="s">
        <v>48</v>
      </c>
      <c r="D2" s="18" t="s">
        <v>49</v>
      </c>
      <c r="E2" s="18">
        <v>500</v>
      </c>
      <c r="F2" s="18">
        <v>0.112</v>
      </c>
      <c r="G2" s="12">
        <v>0</v>
      </c>
      <c r="H2" s="18">
        <f t="shared" ref="H2:H10" si="0">E2*G2</f>
        <v>0</v>
      </c>
      <c r="I2" s="18">
        <f t="shared" ref="I2:I9" si="1">G2*F2</f>
        <v>0</v>
      </c>
      <c r="J2" s="18">
        <f t="shared" ref="J2:J10" si="2">I2*1.1</f>
        <v>0</v>
      </c>
      <c r="K2" s="22">
        <f t="shared" ref="K2:K11" si="3">H2*B2</f>
        <v>0</v>
      </c>
    </row>
    <row r="3" spans="1:11" x14ac:dyDescent="0.25">
      <c r="A3" s="17">
        <v>2</v>
      </c>
      <c r="B3" s="20">
        <v>1.0500000000000001E-2</v>
      </c>
      <c r="C3" s="21" t="s">
        <v>41</v>
      </c>
      <c r="D3" s="18" t="s">
        <v>43</v>
      </c>
      <c r="E3" s="18">
        <v>150</v>
      </c>
      <c r="F3" s="18">
        <v>8.3000000000000004E-2</v>
      </c>
      <c r="G3" s="12">
        <v>10</v>
      </c>
      <c r="H3" s="18">
        <f t="shared" si="0"/>
        <v>1500</v>
      </c>
      <c r="I3" s="18">
        <f t="shared" si="1"/>
        <v>0.83000000000000007</v>
      </c>
      <c r="J3" s="18">
        <f t="shared" si="2"/>
        <v>0.91300000000000014</v>
      </c>
      <c r="K3" s="14">
        <f t="shared" si="3"/>
        <v>15.750000000000002</v>
      </c>
    </row>
    <row r="4" spans="1:11" x14ac:dyDescent="0.25">
      <c r="A4" s="19">
        <v>3</v>
      </c>
      <c r="B4" s="20">
        <v>1.0500000000000001E-2</v>
      </c>
      <c r="C4" s="21" t="s">
        <v>42</v>
      </c>
      <c r="D4" s="18" t="s">
        <v>43</v>
      </c>
      <c r="E4" s="18">
        <v>150</v>
      </c>
      <c r="F4" s="18">
        <v>8.3000000000000004E-2</v>
      </c>
      <c r="G4" s="12">
        <v>0</v>
      </c>
      <c r="H4" s="18">
        <f t="shared" si="0"/>
        <v>0</v>
      </c>
      <c r="I4" s="18">
        <f t="shared" si="1"/>
        <v>0</v>
      </c>
      <c r="J4" s="18">
        <f t="shared" si="2"/>
        <v>0</v>
      </c>
      <c r="K4" s="14">
        <f t="shared" si="3"/>
        <v>0</v>
      </c>
    </row>
    <row r="5" spans="1:11" x14ac:dyDescent="0.25">
      <c r="A5" s="19">
        <v>4</v>
      </c>
      <c r="B5" s="20">
        <v>1.0500000000000001E-2</v>
      </c>
      <c r="C5" s="21" t="s">
        <v>47</v>
      </c>
      <c r="D5" s="18" t="s">
        <v>43</v>
      </c>
      <c r="E5" s="18">
        <v>150</v>
      </c>
      <c r="F5" s="18">
        <v>8.3000000000000004E-2</v>
      </c>
      <c r="G5" s="12">
        <v>0</v>
      </c>
      <c r="H5" s="18">
        <f t="shared" si="0"/>
        <v>0</v>
      </c>
      <c r="I5" s="18">
        <f t="shared" si="1"/>
        <v>0</v>
      </c>
      <c r="J5" s="18">
        <f t="shared" si="2"/>
        <v>0</v>
      </c>
      <c r="K5" s="14">
        <f t="shared" si="3"/>
        <v>0</v>
      </c>
    </row>
    <row r="6" spans="1:11" x14ac:dyDescent="0.25">
      <c r="A6" s="19">
        <v>5</v>
      </c>
      <c r="B6" s="20">
        <v>5.0000000000000001E-3</v>
      </c>
      <c r="C6" s="21" t="s">
        <v>50</v>
      </c>
      <c r="D6" s="18" t="s">
        <v>52</v>
      </c>
      <c r="E6" s="18">
        <v>250</v>
      </c>
      <c r="F6" s="18">
        <v>7.0000000000000007E-2</v>
      </c>
      <c r="G6" s="12">
        <v>0</v>
      </c>
      <c r="H6" s="18">
        <f>E6*G6</f>
        <v>0</v>
      </c>
      <c r="I6" s="18">
        <f>G6*F6</f>
        <v>0</v>
      </c>
      <c r="J6" s="18">
        <f>I6*1.1</f>
        <v>0</v>
      </c>
      <c r="K6" s="14">
        <f>H6*B6</f>
        <v>0</v>
      </c>
    </row>
    <row r="7" spans="1:11" x14ac:dyDescent="0.25">
      <c r="A7" s="19">
        <v>6</v>
      </c>
      <c r="B7" s="20">
        <v>6.4999999999999997E-3</v>
      </c>
      <c r="C7" s="21" t="s">
        <v>51</v>
      </c>
      <c r="D7" s="18" t="s">
        <v>53</v>
      </c>
      <c r="E7" s="18">
        <v>250</v>
      </c>
      <c r="F7" s="18">
        <v>9.4E-2</v>
      </c>
      <c r="G7" s="12">
        <v>10</v>
      </c>
      <c r="H7" s="18">
        <f>E7*G7</f>
        <v>2500</v>
      </c>
      <c r="I7" s="18">
        <f>G7*F7</f>
        <v>0.94</v>
      </c>
      <c r="J7" s="18">
        <f>I7*1.1</f>
        <v>1.034</v>
      </c>
      <c r="K7" s="14">
        <f>H7*B7</f>
        <v>16.25</v>
      </c>
    </row>
    <row r="8" spans="1:11" ht="14.25" customHeight="1" x14ac:dyDescent="0.25">
      <c r="A8" s="19">
        <v>7</v>
      </c>
      <c r="B8" s="20">
        <v>8.9999999999999993E-3</v>
      </c>
      <c r="C8" s="21" t="s">
        <v>44</v>
      </c>
      <c r="D8" s="18" t="s">
        <v>45</v>
      </c>
      <c r="E8" s="18">
        <v>250</v>
      </c>
      <c r="F8" s="18">
        <v>0.12</v>
      </c>
      <c r="G8" s="12">
        <v>5</v>
      </c>
      <c r="H8" s="18">
        <f t="shared" si="0"/>
        <v>1250</v>
      </c>
      <c r="I8" s="18">
        <f t="shared" si="1"/>
        <v>0.6</v>
      </c>
      <c r="J8" s="18">
        <f t="shared" si="2"/>
        <v>0.66</v>
      </c>
      <c r="K8" s="14">
        <f t="shared" si="3"/>
        <v>11.25</v>
      </c>
    </row>
    <row r="9" spans="1:11" ht="15" customHeight="1" x14ac:dyDescent="0.25">
      <c r="A9" s="19">
        <v>8</v>
      </c>
      <c r="B9" s="13">
        <v>7.0000000000000001E-3</v>
      </c>
      <c r="C9" s="23" t="s">
        <v>0</v>
      </c>
      <c r="D9" s="18" t="s">
        <v>1</v>
      </c>
      <c r="E9" s="18">
        <v>200</v>
      </c>
      <c r="F9" s="18">
        <v>0.06</v>
      </c>
      <c r="G9" s="12">
        <v>0</v>
      </c>
      <c r="H9" s="9">
        <f t="shared" si="0"/>
        <v>0</v>
      </c>
      <c r="I9" s="9">
        <f t="shared" si="1"/>
        <v>0</v>
      </c>
      <c r="J9" s="13">
        <f t="shared" si="2"/>
        <v>0</v>
      </c>
      <c r="K9" s="14">
        <f t="shared" si="3"/>
        <v>0</v>
      </c>
    </row>
    <row r="10" spans="1:11" ht="13.5" customHeight="1" x14ac:dyDescent="0.25">
      <c r="A10" s="19">
        <v>9</v>
      </c>
      <c r="B10" s="13">
        <v>5.3E-3</v>
      </c>
      <c r="C10" s="23" t="s">
        <v>2</v>
      </c>
      <c r="D10" s="18" t="s">
        <v>3</v>
      </c>
      <c r="E10" s="18">
        <v>200</v>
      </c>
      <c r="F10" s="18">
        <v>7.1999999999999995E-2</v>
      </c>
      <c r="G10" s="12">
        <v>0</v>
      </c>
      <c r="H10" s="9">
        <f t="shared" si="0"/>
        <v>0</v>
      </c>
      <c r="I10" s="9">
        <f t="shared" ref="I10:I23" si="4">G10*F10</f>
        <v>0</v>
      </c>
      <c r="J10" s="13">
        <f t="shared" si="2"/>
        <v>0</v>
      </c>
      <c r="K10" s="14">
        <f>H10*B10</f>
        <v>0</v>
      </c>
    </row>
    <row r="11" spans="1:11" ht="13.5" customHeight="1" x14ac:dyDescent="0.25">
      <c r="A11" s="19">
        <v>10</v>
      </c>
      <c r="B11" s="13">
        <v>5.0000000000000001E-3</v>
      </c>
      <c r="C11" s="23" t="s">
        <v>4</v>
      </c>
      <c r="D11" s="18" t="s">
        <v>5</v>
      </c>
      <c r="E11" s="18">
        <v>250</v>
      </c>
      <c r="F11" s="18">
        <v>7.4999999999999997E-2</v>
      </c>
      <c r="G11" s="12">
        <v>0</v>
      </c>
      <c r="H11" s="9">
        <f>E11*G11</f>
        <v>0</v>
      </c>
      <c r="I11" s="9">
        <f t="shared" si="4"/>
        <v>0</v>
      </c>
      <c r="J11" s="13">
        <f t="shared" ref="J11:J23" si="5">I11*1.1</f>
        <v>0</v>
      </c>
      <c r="K11" s="14">
        <f t="shared" si="3"/>
        <v>0</v>
      </c>
    </row>
    <row r="12" spans="1:11" ht="14.25" customHeight="1" x14ac:dyDescent="0.25">
      <c r="A12" s="19">
        <v>11</v>
      </c>
      <c r="B12" s="13">
        <v>4.3E-3</v>
      </c>
      <c r="C12" s="23" t="s">
        <v>6</v>
      </c>
      <c r="D12" s="18" t="s">
        <v>7</v>
      </c>
      <c r="E12" s="18">
        <v>240</v>
      </c>
      <c r="F12" s="18">
        <v>5.2999999999999999E-2</v>
      </c>
      <c r="G12" s="12">
        <v>0</v>
      </c>
      <c r="H12" s="9">
        <f t="shared" ref="H12:H23" si="6">E12*G12</f>
        <v>0</v>
      </c>
      <c r="I12" s="9">
        <f t="shared" si="4"/>
        <v>0</v>
      </c>
      <c r="J12" s="13">
        <f t="shared" si="5"/>
        <v>0</v>
      </c>
      <c r="K12" s="14">
        <f>H12*B12</f>
        <v>0</v>
      </c>
    </row>
    <row r="13" spans="1:11" ht="15" customHeight="1" x14ac:dyDescent="0.25">
      <c r="A13" s="19">
        <v>12</v>
      </c>
      <c r="B13" s="13">
        <v>4.0000000000000001E-3</v>
      </c>
      <c r="C13" s="23" t="s">
        <v>8</v>
      </c>
      <c r="D13" s="18" t="s">
        <v>9</v>
      </c>
      <c r="E13" s="18">
        <v>300</v>
      </c>
      <c r="F13" s="18">
        <v>6.9000000000000006E-2</v>
      </c>
      <c r="G13" s="12">
        <v>280</v>
      </c>
      <c r="H13" s="9">
        <f>E13*G13</f>
        <v>84000</v>
      </c>
      <c r="I13" s="9">
        <f t="shared" si="4"/>
        <v>19.32</v>
      </c>
      <c r="J13" s="13">
        <f t="shared" si="5"/>
        <v>21.252000000000002</v>
      </c>
      <c r="K13" s="14">
        <f t="shared" ref="K13:K23" si="7">H13*B13</f>
        <v>336</v>
      </c>
    </row>
    <row r="14" spans="1:11" x14ac:dyDescent="0.25">
      <c r="A14" s="19">
        <v>13</v>
      </c>
      <c r="B14" s="13">
        <v>5.0000000000000001E-3</v>
      </c>
      <c r="C14" s="23" t="s">
        <v>10</v>
      </c>
      <c r="D14" s="18" t="s">
        <v>11</v>
      </c>
      <c r="E14" s="18">
        <v>200</v>
      </c>
      <c r="F14" s="18">
        <v>6.6000000000000003E-2</v>
      </c>
      <c r="G14" s="12">
        <v>0</v>
      </c>
      <c r="H14" s="9">
        <v>0</v>
      </c>
      <c r="I14" s="9">
        <f t="shared" si="4"/>
        <v>0</v>
      </c>
      <c r="J14" s="13">
        <f t="shared" si="5"/>
        <v>0</v>
      </c>
      <c r="K14" s="14">
        <f t="shared" si="7"/>
        <v>0</v>
      </c>
    </row>
    <row r="15" spans="1:11" ht="14.25" customHeight="1" x14ac:dyDescent="0.25">
      <c r="A15" s="19">
        <v>14</v>
      </c>
      <c r="B15" s="13">
        <v>5.4999999999999997E-3</v>
      </c>
      <c r="C15" s="23" t="s">
        <v>12</v>
      </c>
      <c r="D15" s="18" t="s">
        <v>13</v>
      </c>
      <c r="E15" s="18">
        <v>200</v>
      </c>
      <c r="F15" s="18">
        <v>0.06</v>
      </c>
      <c r="G15" s="12">
        <v>0</v>
      </c>
      <c r="H15" s="9">
        <f t="shared" si="6"/>
        <v>0</v>
      </c>
      <c r="I15" s="9">
        <f t="shared" si="4"/>
        <v>0</v>
      </c>
      <c r="J15" s="13">
        <f t="shared" si="5"/>
        <v>0</v>
      </c>
      <c r="K15" s="14">
        <f t="shared" si="7"/>
        <v>0</v>
      </c>
    </row>
    <row r="16" spans="1:11" ht="14.25" customHeight="1" x14ac:dyDescent="0.25">
      <c r="A16" s="19">
        <v>15</v>
      </c>
      <c r="B16" s="13">
        <v>3.0000000000000001E-3</v>
      </c>
      <c r="C16" s="26" t="s">
        <v>14</v>
      </c>
      <c r="D16" s="18" t="s">
        <v>15</v>
      </c>
      <c r="E16" s="27">
        <v>500</v>
      </c>
      <c r="F16" s="27">
        <v>3.5999999999999997E-2</v>
      </c>
      <c r="G16" s="12">
        <v>0</v>
      </c>
      <c r="H16" s="9">
        <f t="shared" si="6"/>
        <v>0</v>
      </c>
      <c r="I16" s="9">
        <f t="shared" si="4"/>
        <v>0</v>
      </c>
      <c r="J16" s="13">
        <f t="shared" si="5"/>
        <v>0</v>
      </c>
      <c r="K16" s="14">
        <f t="shared" si="7"/>
        <v>0</v>
      </c>
    </row>
    <row r="17" spans="1:12" hidden="1" x14ac:dyDescent="0.25">
      <c r="A17" s="19">
        <v>16</v>
      </c>
      <c r="B17" s="13"/>
      <c r="C17" s="26"/>
      <c r="D17" s="18" t="s">
        <v>16</v>
      </c>
      <c r="E17" s="27"/>
      <c r="F17" s="27"/>
      <c r="G17" s="12">
        <v>0</v>
      </c>
      <c r="H17" s="9">
        <f t="shared" si="6"/>
        <v>0</v>
      </c>
      <c r="I17" s="9">
        <f t="shared" si="4"/>
        <v>0</v>
      </c>
      <c r="J17" s="13">
        <f t="shared" si="5"/>
        <v>0</v>
      </c>
      <c r="K17" s="14">
        <f t="shared" si="7"/>
        <v>0</v>
      </c>
    </row>
    <row r="18" spans="1:12" ht="15" customHeight="1" x14ac:dyDescent="0.25">
      <c r="A18" s="19">
        <v>17</v>
      </c>
      <c r="B18" s="13">
        <v>3.3999999999999998E-3</v>
      </c>
      <c r="C18" s="23" t="s">
        <v>17</v>
      </c>
      <c r="D18" s="18" t="s">
        <v>18</v>
      </c>
      <c r="E18" s="18">
        <v>400</v>
      </c>
      <c r="F18" s="18">
        <v>7.0999999999999994E-2</v>
      </c>
      <c r="G18" s="12">
        <v>0</v>
      </c>
      <c r="H18" s="9">
        <f t="shared" si="6"/>
        <v>0</v>
      </c>
      <c r="I18" s="9">
        <f t="shared" si="4"/>
        <v>0</v>
      </c>
      <c r="J18" s="13">
        <f t="shared" si="5"/>
        <v>0</v>
      </c>
      <c r="K18" s="14">
        <f t="shared" si="7"/>
        <v>0</v>
      </c>
    </row>
    <row r="19" spans="1:12" ht="15.75" customHeight="1" x14ac:dyDescent="0.25">
      <c r="A19" s="19">
        <v>18</v>
      </c>
      <c r="B19" s="13">
        <v>3.0000000000000001E-3</v>
      </c>
      <c r="C19" s="23" t="s">
        <v>19</v>
      </c>
      <c r="D19" s="18" t="s">
        <v>20</v>
      </c>
      <c r="E19" s="18">
        <v>300</v>
      </c>
      <c r="F19" s="18">
        <v>5.5E-2</v>
      </c>
      <c r="G19" s="12">
        <v>0</v>
      </c>
      <c r="H19" s="9">
        <f t="shared" si="6"/>
        <v>0</v>
      </c>
      <c r="I19" s="9">
        <f t="shared" si="4"/>
        <v>0</v>
      </c>
      <c r="J19" s="13">
        <f t="shared" si="5"/>
        <v>0</v>
      </c>
      <c r="K19" s="14">
        <f t="shared" si="7"/>
        <v>0</v>
      </c>
    </row>
    <row r="20" spans="1:12" x14ac:dyDescent="0.25">
      <c r="A20" s="19">
        <v>19</v>
      </c>
      <c r="B20" s="13">
        <v>3.0000000000000001E-3</v>
      </c>
      <c r="C20" s="23" t="s">
        <v>21</v>
      </c>
      <c r="D20" s="18" t="s">
        <v>22</v>
      </c>
      <c r="E20" s="18">
        <v>300</v>
      </c>
      <c r="F20" s="18">
        <v>7.2999999999999995E-2</v>
      </c>
      <c r="G20" s="12">
        <v>0</v>
      </c>
      <c r="H20" s="9">
        <f t="shared" si="6"/>
        <v>0</v>
      </c>
      <c r="I20" s="9">
        <f t="shared" si="4"/>
        <v>0</v>
      </c>
      <c r="J20" s="13">
        <f t="shared" si="5"/>
        <v>0</v>
      </c>
      <c r="K20" s="14">
        <f t="shared" si="7"/>
        <v>0</v>
      </c>
    </row>
    <row r="21" spans="1:12" x14ac:dyDescent="0.25">
      <c r="A21" s="19">
        <v>20</v>
      </c>
      <c r="B21" s="13">
        <v>6.0000000000000001E-3</v>
      </c>
      <c r="C21" s="24" t="s">
        <v>23</v>
      </c>
      <c r="D21" s="5" t="s">
        <v>24</v>
      </c>
      <c r="E21" s="5">
        <v>200</v>
      </c>
      <c r="F21" s="5">
        <v>7.4999999999999997E-2</v>
      </c>
      <c r="G21" s="12">
        <v>0</v>
      </c>
      <c r="H21" s="9">
        <f t="shared" si="6"/>
        <v>0</v>
      </c>
      <c r="I21" s="9">
        <f t="shared" si="4"/>
        <v>0</v>
      </c>
      <c r="J21" s="13">
        <f>I21*1.1</f>
        <v>0</v>
      </c>
      <c r="K21" s="14">
        <f t="shared" si="7"/>
        <v>0</v>
      </c>
    </row>
    <row r="22" spans="1:12" x14ac:dyDescent="0.25">
      <c r="A22" s="19">
        <v>21</v>
      </c>
      <c r="B22" s="13">
        <v>8.0000000000000002E-3</v>
      </c>
      <c r="C22" s="23" t="s">
        <v>25</v>
      </c>
      <c r="D22" s="18" t="s">
        <v>26</v>
      </c>
      <c r="E22" s="18">
        <v>250</v>
      </c>
      <c r="F22" s="18">
        <v>0.1</v>
      </c>
      <c r="G22" s="12">
        <v>5</v>
      </c>
      <c r="H22" s="9">
        <f t="shared" si="6"/>
        <v>1250</v>
      </c>
      <c r="I22" s="9">
        <f t="shared" si="4"/>
        <v>0.5</v>
      </c>
      <c r="J22" s="13">
        <f t="shared" si="5"/>
        <v>0.55000000000000004</v>
      </c>
      <c r="K22" s="14">
        <f t="shared" si="7"/>
        <v>10</v>
      </c>
      <c r="L22" t="s">
        <v>46</v>
      </c>
    </row>
    <row r="23" spans="1:12" ht="15" customHeight="1" thickBot="1" x14ac:dyDescent="0.3">
      <c r="A23" s="19">
        <v>22</v>
      </c>
      <c r="B23" s="15">
        <v>7.0000000000000001E-3</v>
      </c>
      <c r="C23" s="25" t="s">
        <v>27</v>
      </c>
      <c r="D23" s="1" t="s">
        <v>28</v>
      </c>
      <c r="E23" s="1">
        <v>200</v>
      </c>
      <c r="F23" s="1">
        <v>9.7000000000000003E-2</v>
      </c>
      <c r="G23" s="12">
        <v>0</v>
      </c>
      <c r="H23" s="11">
        <f t="shared" si="6"/>
        <v>0</v>
      </c>
      <c r="I23" s="11">
        <f t="shared" si="4"/>
        <v>0</v>
      </c>
      <c r="J23" s="15">
        <f t="shared" si="5"/>
        <v>0</v>
      </c>
      <c r="K23" s="16">
        <f t="shared" si="7"/>
        <v>0</v>
      </c>
    </row>
    <row r="24" spans="1:12" x14ac:dyDescent="0.25">
      <c r="G24" s="7">
        <f>SUM(G3:G23)</f>
        <v>310</v>
      </c>
      <c r="H24" s="8">
        <f>SUM(H3:H23)</f>
        <v>90500</v>
      </c>
      <c r="I24" s="8">
        <f>SUM(I3:I23)</f>
        <v>22.19</v>
      </c>
      <c r="J24" s="8">
        <f>SUM(J3:J23)</f>
        <v>24.409000000000002</v>
      </c>
      <c r="K24" s="8">
        <f>SUM(K2:K23)</f>
        <v>389.25</v>
      </c>
      <c r="L24" s="8"/>
    </row>
    <row r="25" spans="1:12" x14ac:dyDescent="0.25">
      <c r="B25" t="s">
        <v>46</v>
      </c>
      <c r="D25" s="4"/>
      <c r="E25" t="s">
        <v>37</v>
      </c>
    </row>
  </sheetData>
  <mergeCells count="3">
    <mergeCell ref="C16:C17"/>
    <mergeCell ref="E16:E17"/>
    <mergeCell ref="F16:F17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Dell</cp:lastModifiedBy>
  <cp:lastPrinted>2022-05-26T14:01:39Z</cp:lastPrinted>
  <dcterms:created xsi:type="dcterms:W3CDTF">2018-11-07T08:12:00Z</dcterms:created>
  <dcterms:modified xsi:type="dcterms:W3CDTF">2026-09-25T16:27:23Z</dcterms:modified>
</cp:coreProperties>
</file>